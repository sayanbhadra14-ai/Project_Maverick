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yan Bhadra\Desktop\Project_Merger_Engine\"/>
    </mc:Choice>
  </mc:AlternateContent>
  <xr:revisionPtr revIDLastSave="0" documentId="13_ncr:1_{02C031B7-D547-4CC0-871F-B0F882D26350}" xr6:coauthVersionLast="47" xr6:coauthVersionMax="47" xr10:uidLastSave="{00000000-0000-0000-0000-000000000000}"/>
  <bookViews>
    <workbookView xWindow="-96" yWindow="0" windowWidth="11712" windowHeight="13056" activeTab="1" xr2:uid="{4BA8FD92-647C-4EA0-81C9-93A1B656CFCA}"/>
  </bookViews>
  <sheets>
    <sheet name="Target_Comps" sheetId="1" r:id="rId1"/>
    <sheet name="Peer_Screening" sheetId="4" r:id="rId2"/>
    <sheet name="Valuation_Model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2" i="1"/>
  <c r="P3" i="1"/>
  <c r="P4" i="1"/>
  <c r="P5" i="1"/>
  <c r="P6" i="1"/>
  <c r="P7" i="1"/>
  <c r="P8" i="1"/>
  <c r="P9" i="1"/>
  <c r="P10" i="1"/>
  <c r="P11" i="1"/>
  <c r="P2" i="1"/>
  <c r="C3" i="2" l="1"/>
  <c r="D12" i="2" l="1"/>
  <c r="D11" i="2"/>
  <c r="C5" i="2"/>
  <c r="P15" i="1"/>
  <c r="E2" i="2" s="1"/>
  <c r="E4" i="2" s="1"/>
  <c r="Q15" i="1"/>
  <c r="E3" i="2" s="1"/>
  <c r="E5" i="2" s="1"/>
  <c r="P14" i="1"/>
  <c r="C2" i="2" s="1"/>
  <c r="C4" i="2" s="1"/>
  <c r="Q14" i="1"/>
  <c r="P12" i="1"/>
  <c r="D2" i="2" s="1"/>
  <c r="D4" i="2" s="1"/>
  <c r="Q12" i="1"/>
  <c r="D3" i="2" s="1"/>
  <c r="D5" i="2" s="1"/>
  <c r="O3" i="1"/>
  <c r="O4" i="1"/>
  <c r="O5" i="1"/>
  <c r="O6" i="1"/>
  <c r="O7" i="1"/>
  <c r="O8" i="1"/>
  <c r="O9" i="1"/>
  <c r="O10" i="1"/>
  <c r="O11" i="1"/>
  <c r="O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2" i="1"/>
  <c r="O15" i="1" l="1"/>
  <c r="O12" i="1"/>
  <c r="O14" i="1"/>
  <c r="C6" i="2"/>
  <c r="C7" i="2" s="1"/>
  <c r="C8" i="2" s="1"/>
  <c r="E6" i="2"/>
  <c r="E7" i="2" s="1"/>
  <c r="E8" i="2" s="1"/>
  <c r="D6" i="2"/>
  <c r="D7" i="2"/>
  <c r="D8" i="2" s="1"/>
</calcChain>
</file>

<file path=xl/sharedStrings.xml><?xml version="1.0" encoding="utf-8"?>
<sst xmlns="http://schemas.openxmlformats.org/spreadsheetml/2006/main" count="251" uniqueCount="106">
  <si>
    <t>Company_ID</t>
  </si>
  <si>
    <t>Company_Name</t>
  </si>
  <si>
    <t>Ticker</t>
  </si>
  <si>
    <t>Sector</t>
  </si>
  <si>
    <t>Business_Segment</t>
  </si>
  <si>
    <t>Revenue_Current</t>
  </si>
  <si>
    <t>Revenue_Growth_Pct</t>
  </si>
  <si>
    <t>EBITDA_Margin_Pct</t>
  </si>
  <si>
    <t>EBITDA</t>
  </si>
  <si>
    <t>Net_Income</t>
  </si>
  <si>
    <t>Total_Debt</t>
  </si>
  <si>
    <t>Market_Cap</t>
  </si>
  <si>
    <t>PubMatic Inc</t>
  </si>
  <si>
    <t>PUBM</t>
  </si>
  <si>
    <t>Technology</t>
  </si>
  <si>
    <t>AdTech &amp; Analytics</t>
  </si>
  <si>
    <t>Ribbon Communications Inc</t>
  </si>
  <si>
    <t>RBBN</t>
  </si>
  <si>
    <t>Cloud Infrastructure</t>
  </si>
  <si>
    <t>Red Violet Inc</t>
  </si>
  <si>
    <t>RDVT</t>
  </si>
  <si>
    <t>Data Analytics</t>
  </si>
  <si>
    <t>Rimini Street Inc</t>
  </si>
  <si>
    <t>RMNI</t>
  </si>
  <si>
    <t>Legacy ERP</t>
  </si>
  <si>
    <t>SmartRent Inc</t>
  </si>
  <si>
    <t>SMRT</t>
  </si>
  <si>
    <t>PropTech SaaS</t>
  </si>
  <si>
    <t>Sprout Social Inc</t>
  </si>
  <si>
    <t>SPT</t>
  </si>
  <si>
    <t>Social Media Tools</t>
  </si>
  <si>
    <t>Par Technology Corp</t>
  </si>
  <si>
    <t>PAR</t>
  </si>
  <si>
    <t>Vertical SaaS</t>
  </si>
  <si>
    <t>Pagerduty Inc</t>
  </si>
  <si>
    <t>PD</t>
  </si>
  <si>
    <t>DevOps &amp; Cloud</t>
  </si>
  <si>
    <t>Porch Group Inc</t>
  </si>
  <si>
    <t>PRCH</t>
  </si>
  <si>
    <t>Pros Holdings Inc</t>
  </si>
  <si>
    <t>PRO</t>
  </si>
  <si>
    <t>AI &amp; Machine Learning</t>
  </si>
  <si>
    <t>CloudScale</t>
  </si>
  <si>
    <t>PVT</t>
  </si>
  <si>
    <t>DataVantage</t>
  </si>
  <si>
    <t>Cybersecurity</t>
  </si>
  <si>
    <t>NeuralFlow</t>
  </si>
  <si>
    <t>Securify</t>
  </si>
  <si>
    <t>CodeStream</t>
  </si>
  <si>
    <t>StackSync</t>
  </si>
  <si>
    <t>VantaGuard</t>
  </si>
  <si>
    <t>OmniLogic</t>
  </si>
  <si>
    <t>FlowState</t>
  </si>
  <si>
    <t>CipherLock</t>
  </si>
  <si>
    <t>DocuWave</t>
  </si>
  <si>
    <t>TaskForce</t>
  </si>
  <si>
    <t>MetricStream</t>
  </si>
  <si>
    <t>OptiNet</t>
  </si>
  <si>
    <t>QuantData</t>
  </si>
  <si>
    <t>CyberShield</t>
  </si>
  <si>
    <t>StratosAI</t>
  </si>
  <si>
    <t>Nebulon</t>
  </si>
  <si>
    <t>CoreBridge</t>
  </si>
  <si>
    <t>SynapseTech</t>
  </si>
  <si>
    <t>Visionary</t>
  </si>
  <si>
    <t>AutoPilot</t>
  </si>
  <si>
    <t>DeepMindSet (Not the real DeepMind)</t>
  </si>
  <si>
    <t>LogicGate</t>
  </si>
  <si>
    <t>RapidScale</t>
  </si>
  <si>
    <t>NetScope</t>
  </si>
  <si>
    <t>AgileWorks</t>
  </si>
  <si>
    <t>DevLoop</t>
  </si>
  <si>
    <t>InfoPulse</t>
  </si>
  <si>
    <t>SmartEdge</t>
  </si>
  <si>
    <t>OmniCloud</t>
  </si>
  <si>
    <t>HyperGrid</t>
  </si>
  <si>
    <t>TechNova</t>
  </si>
  <si>
    <t>SoftPeak</t>
  </si>
  <si>
    <t>BrightData</t>
  </si>
  <si>
    <t>ZenithSystems</t>
  </si>
  <si>
    <t>AlphaCode</t>
  </si>
  <si>
    <t>BetaWave</t>
  </si>
  <si>
    <t>GammaSoft</t>
  </si>
  <si>
    <t>PrimeLayer</t>
  </si>
  <si>
    <t>Enterprise_Value</t>
  </si>
  <si>
    <t>EV_Rev_Multiple</t>
  </si>
  <si>
    <t>EV_EBITDA_Multiple</t>
  </si>
  <si>
    <t>Low Multiple</t>
  </si>
  <si>
    <t>High Multiple</t>
  </si>
  <si>
    <t>Revenue ($M)</t>
  </si>
  <si>
    <t>EBITDA ($M)</t>
  </si>
  <si>
    <t>Low Case</t>
  </si>
  <si>
    <t>Base Case</t>
  </si>
  <si>
    <t>High Case</t>
  </si>
  <si>
    <t>Scenario</t>
  </si>
  <si>
    <t>EV/Revenue Multiple</t>
  </si>
  <si>
    <t>EV/EBITDA Multiple</t>
  </si>
  <si>
    <t>Implied Value (Rev Based)</t>
  </si>
  <si>
    <t>Implied Value (EBITDA Based)</t>
  </si>
  <si>
    <t>Average Value</t>
  </si>
  <si>
    <t>Less: Illiquidity Discount</t>
  </si>
  <si>
    <t>Final Equity Value</t>
  </si>
  <si>
    <t>Rule_of_40_Score</t>
  </si>
  <si>
    <t>Leverage_Ratio</t>
  </si>
  <si>
    <t>Company</t>
  </si>
  <si>
    <t>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</si>
</sst>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6"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 calibri light"/>
    </font>
    <font>
      <sz val="11"/>
      <color theme="1"/>
      <name val="Calibri Light"/>
      <family val="2"/>
    </font>
    <font>
      <b/>
      <sz val="11"/>
      <color theme="1"/>
      <name val="Calibri Light"/>
      <family val="2"/>
    </font>
    <font>
      <sz val="11"/>
      <color theme="0"/>
      <name val="Calibri Light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2551A9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tted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/>
    <xf numFmtId="0" fontId="3" fillId="0" borderId="0" xfId="0" applyFont="1"/>
    <xf numFmtId="0" fontId="3" fillId="2" borderId="0" xfId="0" applyFont="1" applyFill="1"/>
    <xf numFmtId="43" fontId="3" fillId="0" borderId="0" xfId="1" applyFont="1"/>
    <xf numFmtId="0" fontId="3" fillId="0" borderId="0" xfId="0" applyFont="1" applyAlignment="1">
      <alignment horizontal="left" indent="1"/>
    </xf>
    <xf numFmtId="0" fontId="4" fillId="0" borderId="1" xfId="0" applyFont="1" applyBorder="1"/>
    <xf numFmtId="43" fontId="4" fillId="0" borderId="1" xfId="1" applyFont="1" applyBorder="1"/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3" borderId="0" xfId="0" applyFont="1" applyFill="1"/>
    <xf numFmtId="0" fontId="3" fillId="0" borderId="2" xfId="0" applyFont="1" applyBorder="1"/>
    <xf numFmtId="0" fontId="3" fillId="0" borderId="3" xfId="0" applyFont="1" applyBorder="1"/>
    <xf numFmtId="43" fontId="3" fillId="3" borderId="0" xfId="1" applyFont="1" applyFill="1"/>
    <xf numFmtId="43" fontId="3" fillId="0" borderId="3" xfId="1" applyFont="1" applyBorder="1"/>
    <xf numFmtId="43" fontId="3" fillId="0" borderId="2" xfId="1" applyFont="1" applyBorder="1"/>
    <xf numFmtId="0" fontId="3" fillId="0" borderId="0" xfId="0" applyFont="1" applyAlignment="1">
      <alignment horizontal="center" vertical="center"/>
    </xf>
    <xf numFmtId="0" fontId="5" fillId="4" borderId="0" xfId="0" applyFont="1" applyFill="1"/>
    <xf numFmtId="0" fontId="5" fillId="4" borderId="0" xfId="0" applyFont="1" applyFill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2551A9"/>
      <color rgb="FF052E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94E61-32F7-489F-B549-3EE67203646B}">
  <dimension ref="B1:R51"/>
  <sheetViews>
    <sheetView topLeftCell="C1" zoomScale="41" workbookViewId="0">
      <selection activeCell="Q15" sqref="Q15"/>
    </sheetView>
  </sheetViews>
  <sheetFormatPr defaultRowHeight="14.4"/>
  <cols>
    <col min="1" max="1" width="1.88671875" customWidth="1"/>
    <col min="2" max="2" width="11.21875" style="9" bestFit="1" customWidth="1"/>
    <col min="3" max="3" width="35.6640625" bestFit="1" customWidth="1"/>
    <col min="4" max="4" width="6.88671875" bestFit="1" customWidth="1"/>
    <col min="5" max="5" width="12.33203125" bestFit="1" customWidth="1"/>
    <col min="6" max="6" width="23.21875" bestFit="1" customWidth="1"/>
    <col min="7" max="7" width="16.88671875" bestFit="1" customWidth="1"/>
    <col min="8" max="8" width="21.6640625" bestFit="1" customWidth="1"/>
    <col min="9" max="9" width="19.88671875" bestFit="1" customWidth="1"/>
    <col min="10" max="10" width="8.33203125" bestFit="1" customWidth="1"/>
    <col min="11" max="11" width="11.6640625" bestFit="1" customWidth="1"/>
    <col min="12" max="12" width="10.88671875" bestFit="1" customWidth="1"/>
    <col min="13" max="13" width="11.88671875" bestFit="1" customWidth="1"/>
    <col min="14" max="14" width="0.6640625" customWidth="1"/>
    <col min="15" max="15" width="16.33203125" bestFit="1" customWidth="1"/>
    <col min="16" max="16" width="14.88671875" bestFit="1" customWidth="1"/>
    <col min="17" max="17" width="17.88671875" bestFit="1" customWidth="1"/>
    <col min="18" max="18" width="12.5546875" bestFit="1" customWidth="1"/>
  </cols>
  <sheetData>
    <row r="1" spans="2:18">
      <c r="B1" s="18" t="s">
        <v>0</v>
      </c>
      <c r="C1" s="17" t="s">
        <v>1</v>
      </c>
      <c r="D1" s="17" t="s">
        <v>2</v>
      </c>
      <c r="E1" s="17" t="s">
        <v>3</v>
      </c>
      <c r="F1" s="17" t="s">
        <v>4</v>
      </c>
      <c r="G1" s="17" t="s">
        <v>5</v>
      </c>
      <c r="H1" s="17" t="s">
        <v>6</v>
      </c>
      <c r="I1" s="17" t="s">
        <v>7</v>
      </c>
      <c r="J1" s="17" t="s">
        <v>8</v>
      </c>
      <c r="K1" s="17" t="s">
        <v>9</v>
      </c>
      <c r="L1" s="17" t="s">
        <v>10</v>
      </c>
      <c r="M1" s="17" t="s">
        <v>11</v>
      </c>
      <c r="N1" s="17"/>
      <c r="O1" s="17" t="s">
        <v>84</v>
      </c>
      <c r="P1" s="17" t="s">
        <v>85</v>
      </c>
      <c r="Q1" s="17" t="s">
        <v>86</v>
      </c>
      <c r="R1" s="2"/>
    </row>
    <row r="2" spans="2:18">
      <c r="B2" s="8">
        <v>1</v>
      </c>
      <c r="C2" s="2" t="s">
        <v>12</v>
      </c>
      <c r="D2" s="2" t="s">
        <v>13</v>
      </c>
      <c r="E2" s="2" t="s">
        <v>14</v>
      </c>
      <c r="F2" s="2" t="s">
        <v>15</v>
      </c>
      <c r="G2" s="2">
        <v>228.38</v>
      </c>
      <c r="H2" s="2">
        <v>0.09</v>
      </c>
      <c r="I2" s="4">
        <f>J2/G2</f>
        <v>0.15080129608547158</v>
      </c>
      <c r="J2" s="2">
        <v>34.44</v>
      </c>
      <c r="K2" s="2">
        <v>-7.25</v>
      </c>
      <c r="L2" s="2">
        <v>45.86</v>
      </c>
      <c r="M2" s="2">
        <v>419.82</v>
      </c>
      <c r="N2" s="2"/>
      <c r="O2" s="2">
        <f t="shared" ref="O2:O11" si="0">M2+L2</f>
        <v>465.68</v>
      </c>
      <c r="P2" s="4">
        <f>O2/G2</f>
        <v>2.0390577108328225</v>
      </c>
      <c r="Q2" s="4">
        <f>O2/J2</f>
        <v>13.521486643437864</v>
      </c>
      <c r="R2" s="2"/>
    </row>
    <row r="3" spans="2:18">
      <c r="B3" s="8">
        <v>2</v>
      </c>
      <c r="C3" s="2" t="s">
        <v>16</v>
      </c>
      <c r="D3" s="2" t="s">
        <v>17</v>
      </c>
      <c r="E3" s="2" t="s">
        <v>14</v>
      </c>
      <c r="F3" s="2" t="s">
        <v>18</v>
      </c>
      <c r="G3" s="2">
        <v>868.59</v>
      </c>
      <c r="H3" s="2">
        <v>0.01</v>
      </c>
      <c r="I3" s="4">
        <f t="shared" ref="I3:I51" si="1">J3/G3</f>
        <v>0.11244660887184978</v>
      </c>
      <c r="J3" s="2">
        <v>97.67</v>
      </c>
      <c r="K3" s="2">
        <v>-43.06</v>
      </c>
      <c r="L3" s="2">
        <v>383.67</v>
      </c>
      <c r="M3" s="2">
        <v>502.42</v>
      </c>
      <c r="N3" s="2"/>
      <c r="O3" s="2">
        <f t="shared" si="0"/>
        <v>886.09</v>
      </c>
      <c r="P3" s="4">
        <f t="shared" ref="P3:P11" si="2">O3/G3</f>
        <v>1.0201475955283852</v>
      </c>
      <c r="Q3" s="4">
        <f t="shared" ref="Q3:Q11" si="3">O3/J3</f>
        <v>9.072284222381489</v>
      </c>
      <c r="R3" s="2"/>
    </row>
    <row r="4" spans="2:18">
      <c r="B4" s="8">
        <v>3</v>
      </c>
      <c r="C4" s="2" t="s">
        <v>19</v>
      </c>
      <c r="D4" s="2" t="s">
        <v>20</v>
      </c>
      <c r="E4" s="2" t="s">
        <v>14</v>
      </c>
      <c r="F4" s="2" t="s">
        <v>21</v>
      </c>
      <c r="G4" s="2">
        <v>86.42</v>
      </c>
      <c r="H4" s="2">
        <v>0.25</v>
      </c>
      <c r="I4" s="4">
        <f t="shared" si="1"/>
        <v>0.25792640592455451</v>
      </c>
      <c r="J4" s="2">
        <v>22.29</v>
      </c>
      <c r="K4" s="2">
        <v>11.2</v>
      </c>
      <c r="L4" s="2">
        <v>2</v>
      </c>
      <c r="M4" s="2">
        <v>760.48</v>
      </c>
      <c r="N4" s="2"/>
      <c r="O4" s="2">
        <f t="shared" si="0"/>
        <v>762.48</v>
      </c>
      <c r="P4" s="4">
        <f t="shared" si="2"/>
        <v>8.8229576486924319</v>
      </c>
      <c r="Q4" s="4">
        <f t="shared" si="3"/>
        <v>34.207267833109022</v>
      </c>
      <c r="R4" s="2"/>
    </row>
    <row r="5" spans="2:18">
      <c r="B5" s="8">
        <v>4</v>
      </c>
      <c r="C5" s="2" t="s">
        <v>22</v>
      </c>
      <c r="D5" s="2" t="s">
        <v>23</v>
      </c>
      <c r="E5" s="2" t="s">
        <v>14</v>
      </c>
      <c r="F5" s="2" t="s">
        <v>24</v>
      </c>
      <c r="G5" s="2">
        <v>425.96</v>
      </c>
      <c r="H5" s="2">
        <v>-0.01</v>
      </c>
      <c r="I5" s="4">
        <f t="shared" si="1"/>
        <v>0.1078270260118321</v>
      </c>
      <c r="J5" s="2">
        <v>45.93</v>
      </c>
      <c r="K5" s="2">
        <v>43.03</v>
      </c>
      <c r="L5" s="2">
        <v>827.25</v>
      </c>
      <c r="M5" s="2">
        <v>352.24</v>
      </c>
      <c r="N5" s="2"/>
      <c r="O5" s="2">
        <f t="shared" si="0"/>
        <v>1179.49</v>
      </c>
      <c r="P5" s="4">
        <f t="shared" si="2"/>
        <v>2.7690158700347451</v>
      </c>
      <c r="Q5" s="4">
        <f t="shared" si="3"/>
        <v>25.68016546919225</v>
      </c>
      <c r="R5" s="2"/>
    </row>
    <row r="6" spans="2:18">
      <c r="B6" s="8">
        <v>5</v>
      </c>
      <c r="C6" s="2" t="s">
        <v>25</v>
      </c>
      <c r="D6" s="2" t="s">
        <v>26</v>
      </c>
      <c r="E6" s="2" t="s">
        <v>14</v>
      </c>
      <c r="F6" s="2" t="s">
        <v>27</v>
      </c>
      <c r="G6" s="2">
        <v>151.22</v>
      </c>
      <c r="H6" s="2">
        <v>-0.26</v>
      </c>
      <c r="I6" s="4">
        <f t="shared" si="1"/>
        <v>-0.26458140457611423</v>
      </c>
      <c r="J6" s="2">
        <v>-40.01</v>
      </c>
      <c r="K6" s="2">
        <v>-68.739999999999995</v>
      </c>
      <c r="L6" s="2">
        <v>8.1199999999999992</v>
      </c>
      <c r="M6" s="2">
        <v>320.7</v>
      </c>
      <c r="N6" s="2"/>
      <c r="O6" s="2">
        <f t="shared" si="0"/>
        <v>328.82</v>
      </c>
      <c r="P6" s="4">
        <f t="shared" si="2"/>
        <v>2.1744478243618568</v>
      </c>
      <c r="Q6" s="4">
        <f t="shared" si="3"/>
        <v>-8.218445388652837</v>
      </c>
      <c r="R6" s="2"/>
    </row>
    <row r="7" spans="2:18">
      <c r="B7" s="8">
        <v>6</v>
      </c>
      <c r="C7" s="2" t="s">
        <v>28</v>
      </c>
      <c r="D7" s="2" t="s">
        <v>29</v>
      </c>
      <c r="E7" s="2" t="s">
        <v>14</v>
      </c>
      <c r="F7" s="2" t="s">
        <v>30</v>
      </c>
      <c r="G7" s="2">
        <v>443.75</v>
      </c>
      <c r="H7" s="2">
        <v>0.22</v>
      </c>
      <c r="I7" s="4">
        <f t="shared" si="1"/>
        <v>-6.2354929577464795E-2</v>
      </c>
      <c r="J7" s="2">
        <v>-27.67</v>
      </c>
      <c r="K7" s="2">
        <v>-47</v>
      </c>
      <c r="L7" s="2">
        <v>43.29</v>
      </c>
      <c r="M7" s="2">
        <v>592.62</v>
      </c>
      <c r="N7" s="2"/>
      <c r="O7" s="2">
        <f t="shared" si="0"/>
        <v>635.91</v>
      </c>
      <c r="P7" s="4">
        <f t="shared" si="2"/>
        <v>1.4330366197183098</v>
      </c>
      <c r="Q7" s="4">
        <f t="shared" si="3"/>
        <v>-22.981929887965304</v>
      </c>
      <c r="R7" s="2"/>
    </row>
    <row r="8" spans="2:18">
      <c r="B8" s="8">
        <v>7</v>
      </c>
      <c r="C8" s="2" t="s">
        <v>31</v>
      </c>
      <c r="D8" s="2" t="s">
        <v>32</v>
      </c>
      <c r="E8" s="2" t="s">
        <v>14</v>
      </c>
      <c r="F8" s="2" t="s">
        <v>33</v>
      </c>
      <c r="G8" s="2">
        <v>440.45</v>
      </c>
      <c r="H8" s="2">
        <v>0.26</v>
      </c>
      <c r="I8" s="4">
        <f t="shared" si="1"/>
        <v>-2.0660687932796004E-2</v>
      </c>
      <c r="J8" s="2">
        <v>-9.1</v>
      </c>
      <c r="K8" s="2">
        <v>-88.81</v>
      </c>
      <c r="L8" s="2">
        <v>376.67</v>
      </c>
      <c r="M8" s="2">
        <v>1410</v>
      </c>
      <c r="N8" s="2"/>
      <c r="O8" s="2">
        <f t="shared" si="0"/>
        <v>1786.67</v>
      </c>
      <c r="P8" s="4">
        <f t="shared" si="2"/>
        <v>4.0564649789987515</v>
      </c>
      <c r="Q8" s="4">
        <f t="shared" si="3"/>
        <v>-196.33736263736265</v>
      </c>
      <c r="R8" s="2"/>
    </row>
    <row r="9" spans="2:18">
      <c r="B9" s="8">
        <v>8</v>
      </c>
      <c r="C9" s="2" t="s">
        <v>34</v>
      </c>
      <c r="D9" s="2" t="s">
        <v>35</v>
      </c>
      <c r="E9" s="2" t="s">
        <v>14</v>
      </c>
      <c r="F9" s="2" t="s">
        <v>36</v>
      </c>
      <c r="G9" s="2">
        <v>489.21</v>
      </c>
      <c r="H9" s="2">
        <v>0.09</v>
      </c>
      <c r="I9" s="4">
        <f t="shared" si="1"/>
        <v>3.656916252734E-2</v>
      </c>
      <c r="J9" s="2">
        <v>17.89</v>
      </c>
      <c r="K9" s="2">
        <v>152.22999999999999</v>
      </c>
      <c r="L9" s="2">
        <v>463.65</v>
      </c>
      <c r="M9" s="2">
        <v>1090</v>
      </c>
      <c r="N9" s="2"/>
      <c r="O9" s="2">
        <f t="shared" si="0"/>
        <v>1553.65</v>
      </c>
      <c r="P9" s="4">
        <f t="shared" si="2"/>
        <v>3.1758345086976965</v>
      </c>
      <c r="Q9" s="4">
        <f t="shared" si="3"/>
        <v>86.844605925097824</v>
      </c>
      <c r="R9" s="2"/>
    </row>
    <row r="10" spans="2:18">
      <c r="B10" s="8">
        <v>9</v>
      </c>
      <c r="C10" s="2" t="s">
        <v>37</v>
      </c>
      <c r="D10" s="2" t="s">
        <v>38</v>
      </c>
      <c r="E10" s="2" t="s">
        <v>14</v>
      </c>
      <c r="F10" s="2" t="s">
        <v>33</v>
      </c>
      <c r="G10" s="2">
        <v>442.48</v>
      </c>
      <c r="H10" s="2">
        <v>0.02</v>
      </c>
      <c r="I10" s="4">
        <f t="shared" si="1"/>
        <v>0.21709455794612184</v>
      </c>
      <c r="J10" s="2">
        <v>96.06</v>
      </c>
      <c r="K10" s="2">
        <v>30.59</v>
      </c>
      <c r="L10" s="2">
        <v>406.18</v>
      </c>
      <c r="M10" s="2">
        <v>1010</v>
      </c>
      <c r="N10" s="2"/>
      <c r="O10" s="2">
        <f t="shared" si="0"/>
        <v>1416.18</v>
      </c>
      <c r="P10" s="4">
        <f t="shared" si="2"/>
        <v>3.2005514373531008</v>
      </c>
      <c r="Q10" s="4">
        <f t="shared" si="3"/>
        <v>14.74266083697689</v>
      </c>
      <c r="R10" s="2"/>
    </row>
    <row r="11" spans="2:18">
      <c r="B11" s="8">
        <v>10</v>
      </c>
      <c r="C11" s="2" t="s">
        <v>39</v>
      </c>
      <c r="D11" s="2" t="s">
        <v>40</v>
      </c>
      <c r="E11" s="2" t="s">
        <v>14</v>
      </c>
      <c r="F11" s="2" t="s">
        <v>41</v>
      </c>
      <c r="G11" s="2">
        <v>351.68</v>
      </c>
      <c r="H11" s="2">
        <v>0.09</v>
      </c>
      <c r="I11" s="4">
        <f t="shared" si="1"/>
        <v>-2.37147406733394E-2</v>
      </c>
      <c r="J11" s="2">
        <v>-8.34</v>
      </c>
      <c r="K11" s="2">
        <v>-11.66</v>
      </c>
      <c r="L11" s="2">
        <v>300.89999999999998</v>
      </c>
      <c r="M11" s="2">
        <v>1120</v>
      </c>
      <c r="N11" s="2"/>
      <c r="O11" s="2">
        <f t="shared" si="0"/>
        <v>1420.9</v>
      </c>
      <c r="P11" s="4">
        <f t="shared" si="2"/>
        <v>4.0403207461328483</v>
      </c>
      <c r="Q11" s="4">
        <f t="shared" si="3"/>
        <v>-170.37170263788971</v>
      </c>
      <c r="R11" s="2"/>
    </row>
    <row r="12" spans="2:18">
      <c r="B12" s="8">
        <v>11</v>
      </c>
      <c r="C12" s="2" t="s">
        <v>42</v>
      </c>
      <c r="D12" s="2" t="s">
        <v>43</v>
      </c>
      <c r="E12" s="2" t="s">
        <v>14</v>
      </c>
      <c r="F12" s="2" t="s">
        <v>41</v>
      </c>
      <c r="G12" s="2">
        <v>150.5</v>
      </c>
      <c r="H12" s="2">
        <v>0.35</v>
      </c>
      <c r="I12" s="4">
        <f t="shared" si="1"/>
        <v>0.22</v>
      </c>
      <c r="J12" s="2">
        <v>33.11</v>
      </c>
      <c r="K12" s="2">
        <v>18.5</v>
      </c>
      <c r="L12" s="2">
        <v>25</v>
      </c>
      <c r="M12" s="2">
        <v>0</v>
      </c>
      <c r="N12" s="2"/>
      <c r="O12" s="10">
        <f>MEDIAN(O2:O11)</f>
        <v>1032.79</v>
      </c>
      <c r="P12" s="13">
        <f t="shared" ref="P12:Q12" si="4">MEDIAN(P2:P11)</f>
        <v>2.9724251893662208</v>
      </c>
      <c r="Q12" s="13">
        <f t="shared" si="4"/>
        <v>11.296885432909676</v>
      </c>
      <c r="R12" s="2" t="s">
        <v>105</v>
      </c>
    </row>
    <row r="13" spans="2:18">
      <c r="B13" s="8">
        <v>12</v>
      </c>
      <c r="C13" s="2" t="s">
        <v>44</v>
      </c>
      <c r="D13" s="2" t="s">
        <v>43</v>
      </c>
      <c r="E13" s="2" t="s">
        <v>14</v>
      </c>
      <c r="F13" s="2" t="s">
        <v>45</v>
      </c>
      <c r="G13" s="2">
        <v>319.66000000000003</v>
      </c>
      <c r="H13" s="2">
        <v>0.25</v>
      </c>
      <c r="I13" s="4">
        <f t="shared" si="1"/>
        <v>0.18019145341925796</v>
      </c>
      <c r="J13" s="2">
        <v>57.6</v>
      </c>
      <c r="K13" s="2">
        <v>40.200000000000003</v>
      </c>
      <c r="L13" s="2">
        <v>52</v>
      </c>
      <c r="M13" s="2">
        <v>0</v>
      </c>
      <c r="N13" s="2"/>
      <c r="O13" s="2"/>
      <c r="P13" s="4"/>
      <c r="Q13" s="4"/>
      <c r="R13" s="2"/>
    </row>
    <row r="14" spans="2:18">
      <c r="B14" s="8">
        <v>13</v>
      </c>
      <c r="C14" s="2" t="s">
        <v>46</v>
      </c>
      <c r="D14" s="2" t="s">
        <v>43</v>
      </c>
      <c r="E14" s="2" t="s">
        <v>14</v>
      </c>
      <c r="F14" s="2" t="s">
        <v>24</v>
      </c>
      <c r="G14" s="2">
        <v>32.33</v>
      </c>
      <c r="H14" s="2">
        <v>0.6</v>
      </c>
      <c r="I14" s="4">
        <f t="shared" si="1"/>
        <v>-0.74234457160532019</v>
      </c>
      <c r="J14" s="2">
        <v>-24</v>
      </c>
      <c r="K14" s="2">
        <v>-30</v>
      </c>
      <c r="L14" s="2">
        <v>14</v>
      </c>
      <c r="M14" s="2">
        <v>0</v>
      </c>
      <c r="N14" s="2"/>
      <c r="O14" s="12">
        <f>_xlfn.PERCENTILE.INC(O2:O11, 0.25)</f>
        <v>667.55250000000001</v>
      </c>
      <c r="P14" s="14">
        <f t="shared" ref="P14:Q14" si="5">_xlfn.PERCENTILE.INC(P2:P11, 0.25)</f>
        <v>2.0729052392150811</v>
      </c>
      <c r="Q14" s="14">
        <f t="shared" si="5"/>
        <v>-19.291058763137187</v>
      </c>
      <c r="R14" s="12" t="s">
        <v>87</v>
      </c>
    </row>
    <row r="15" spans="2:18">
      <c r="B15" s="8">
        <v>14</v>
      </c>
      <c r="C15" s="2" t="s">
        <v>47</v>
      </c>
      <c r="D15" s="2" t="s">
        <v>43</v>
      </c>
      <c r="E15" s="2" t="s">
        <v>14</v>
      </c>
      <c r="F15" s="2" t="s">
        <v>41</v>
      </c>
      <c r="G15" s="2">
        <v>152.33000000000001</v>
      </c>
      <c r="H15" s="2">
        <v>0.45</v>
      </c>
      <c r="I15" s="4">
        <f t="shared" si="1"/>
        <v>-0.19694085209742007</v>
      </c>
      <c r="J15" s="2">
        <v>-30</v>
      </c>
      <c r="K15" s="2">
        <v>-45</v>
      </c>
      <c r="L15" s="2">
        <v>43</v>
      </c>
      <c r="M15" s="2">
        <v>0</v>
      </c>
      <c r="N15" s="2"/>
      <c r="O15" s="11">
        <f>_xlfn.PERCENTILE.INC(O2:O11, 0.75)</f>
        <v>1419.72</v>
      </c>
      <c r="P15" s="15">
        <f t="shared" ref="P15:Q15" si="6">_xlfn.PERCENTILE.INC(P2:P11, 0.75)</f>
        <v>3.8303784189379115</v>
      </c>
      <c r="Q15" s="15">
        <f t="shared" si="6"/>
        <v>22.945789311138412</v>
      </c>
      <c r="R15" s="11" t="s">
        <v>88</v>
      </c>
    </row>
    <row r="16" spans="2:18">
      <c r="B16" s="8">
        <v>15</v>
      </c>
      <c r="C16" s="2" t="s">
        <v>48</v>
      </c>
      <c r="D16" s="2" t="s">
        <v>43</v>
      </c>
      <c r="E16" s="2" t="s">
        <v>14</v>
      </c>
      <c r="F16" s="2" t="s">
        <v>36</v>
      </c>
      <c r="G16" s="2">
        <v>499.66</v>
      </c>
      <c r="H16" s="2">
        <v>0.05</v>
      </c>
      <c r="I16" s="4">
        <f t="shared" si="1"/>
        <v>0.35023816195012608</v>
      </c>
      <c r="J16" s="2">
        <v>175</v>
      </c>
      <c r="K16" s="2">
        <v>120</v>
      </c>
      <c r="L16" s="2">
        <v>102</v>
      </c>
      <c r="M16" s="2">
        <v>0</v>
      </c>
      <c r="N16" s="2"/>
      <c r="O16" s="2"/>
      <c r="P16" s="2"/>
      <c r="Q16" s="2"/>
      <c r="R16" s="2"/>
    </row>
    <row r="17" spans="2:18">
      <c r="B17" s="8">
        <v>16</v>
      </c>
      <c r="C17" s="2" t="s">
        <v>49</v>
      </c>
      <c r="D17" s="2" t="s">
        <v>43</v>
      </c>
      <c r="E17" s="2" t="s">
        <v>14</v>
      </c>
      <c r="F17" s="2" t="s">
        <v>41</v>
      </c>
      <c r="G17" s="2">
        <v>402.33</v>
      </c>
      <c r="H17" s="2">
        <v>0.02</v>
      </c>
      <c r="I17" s="4">
        <f t="shared" si="1"/>
        <v>0.31317575124897473</v>
      </c>
      <c r="J17" s="2">
        <v>126</v>
      </c>
      <c r="K17" s="2">
        <v>90</v>
      </c>
      <c r="L17" s="2">
        <v>152</v>
      </c>
      <c r="M17" s="2">
        <v>0</v>
      </c>
      <c r="N17" s="2"/>
      <c r="O17" s="2"/>
      <c r="P17" s="2"/>
      <c r="Q17" s="2"/>
      <c r="R17" s="2"/>
    </row>
    <row r="18" spans="2:18">
      <c r="B18" s="8">
        <v>17</v>
      </c>
      <c r="C18" s="2" t="s">
        <v>50</v>
      </c>
      <c r="D18" s="2" t="s">
        <v>43</v>
      </c>
      <c r="E18" s="2" t="s">
        <v>14</v>
      </c>
      <c r="F18" s="2" t="s">
        <v>45</v>
      </c>
      <c r="G18" s="2">
        <v>299.66000000000003</v>
      </c>
      <c r="H18" s="2">
        <v>0.1</v>
      </c>
      <c r="I18" s="4">
        <f t="shared" si="1"/>
        <v>0.12013615430821596</v>
      </c>
      <c r="J18" s="2">
        <v>36</v>
      </c>
      <c r="K18" s="2">
        <v>-10</v>
      </c>
      <c r="L18" s="2">
        <v>467</v>
      </c>
      <c r="M18" s="2">
        <v>0</v>
      </c>
      <c r="N18" s="2"/>
      <c r="O18" s="2"/>
      <c r="P18" s="2"/>
      <c r="Q18" s="2"/>
      <c r="R18" s="2"/>
    </row>
    <row r="19" spans="2:18">
      <c r="B19" s="8">
        <v>18</v>
      </c>
      <c r="C19" s="2" t="s">
        <v>51</v>
      </c>
      <c r="D19" s="2" t="s">
        <v>43</v>
      </c>
      <c r="E19" s="2" t="s">
        <v>14</v>
      </c>
      <c r="F19" s="2" t="s">
        <v>24</v>
      </c>
      <c r="G19" s="2">
        <v>502.33</v>
      </c>
      <c r="H19" s="2">
        <v>0.08</v>
      </c>
      <c r="I19" s="4">
        <f t="shared" si="1"/>
        <v>0.16423466645432286</v>
      </c>
      <c r="J19" s="2">
        <v>82.5</v>
      </c>
      <c r="K19" s="2">
        <v>20</v>
      </c>
      <c r="L19" s="2">
        <v>638</v>
      </c>
      <c r="M19" s="2">
        <v>0</v>
      </c>
      <c r="N19" s="2"/>
      <c r="O19" s="2"/>
      <c r="P19" s="2"/>
      <c r="Q19" s="2"/>
      <c r="R19" s="2"/>
    </row>
    <row r="20" spans="2:18">
      <c r="B20" s="8">
        <v>19</v>
      </c>
      <c r="C20" s="2" t="s">
        <v>52</v>
      </c>
      <c r="D20" s="2" t="s">
        <v>43</v>
      </c>
      <c r="E20" s="2" t="s">
        <v>14</v>
      </c>
      <c r="F20" s="2" t="s">
        <v>33</v>
      </c>
      <c r="G20" s="2">
        <v>72.33</v>
      </c>
      <c r="H20" s="2">
        <v>0.12</v>
      </c>
      <c r="I20" s="4">
        <f t="shared" si="1"/>
        <v>8.2953131480713399E-2</v>
      </c>
      <c r="J20" s="2">
        <v>6</v>
      </c>
      <c r="K20" s="2">
        <v>2</v>
      </c>
      <c r="L20" s="2">
        <v>50</v>
      </c>
      <c r="M20" s="2">
        <v>0</v>
      </c>
      <c r="N20" s="2"/>
      <c r="O20" s="2"/>
      <c r="P20" s="2"/>
      <c r="Q20" s="2"/>
      <c r="R20" s="2"/>
    </row>
    <row r="21" spans="2:18">
      <c r="B21" s="8">
        <v>20</v>
      </c>
      <c r="C21" s="2" t="s">
        <v>53</v>
      </c>
      <c r="D21" s="2" t="s">
        <v>43</v>
      </c>
      <c r="E21" s="2" t="s">
        <v>14</v>
      </c>
      <c r="F21" s="2" t="s">
        <v>45</v>
      </c>
      <c r="G21" s="2">
        <v>249.66</v>
      </c>
      <c r="H21" s="2">
        <v>0.15</v>
      </c>
      <c r="I21" s="4">
        <f t="shared" si="1"/>
        <v>8.010894816951053E-2</v>
      </c>
      <c r="J21" s="2">
        <v>20</v>
      </c>
      <c r="K21" s="2">
        <v>10</v>
      </c>
      <c r="L21" s="2">
        <v>80</v>
      </c>
      <c r="M21" s="2">
        <v>0</v>
      </c>
      <c r="N21" s="2"/>
      <c r="O21" s="2"/>
      <c r="P21" s="2"/>
      <c r="Q21" s="2"/>
      <c r="R21" s="2"/>
    </row>
    <row r="22" spans="2:18">
      <c r="B22" s="8">
        <v>21</v>
      </c>
      <c r="C22" s="2" t="s">
        <v>54</v>
      </c>
      <c r="D22" s="2" t="s">
        <v>43</v>
      </c>
      <c r="E22" s="2" t="s">
        <v>14</v>
      </c>
      <c r="F22" s="2" t="s">
        <v>33</v>
      </c>
      <c r="G22" s="2">
        <v>373.24</v>
      </c>
      <c r="H22" s="2">
        <v>0.23</v>
      </c>
      <c r="I22" s="4">
        <f t="shared" si="1"/>
        <v>0.12236094737970207</v>
      </c>
      <c r="J22" s="2">
        <v>45.67</v>
      </c>
      <c r="K22" s="2">
        <v>34.119999999999997</v>
      </c>
      <c r="L22" s="2">
        <v>12.45</v>
      </c>
      <c r="M22" s="2">
        <v>0</v>
      </c>
      <c r="N22" s="2"/>
      <c r="O22" s="2"/>
      <c r="P22" s="2"/>
      <c r="Q22" s="2"/>
      <c r="R22" s="2"/>
    </row>
    <row r="23" spans="2:18">
      <c r="B23" s="8">
        <v>22</v>
      </c>
      <c r="C23" s="2" t="s">
        <v>55</v>
      </c>
      <c r="D23" s="2" t="s">
        <v>43</v>
      </c>
      <c r="E23" s="2" t="s">
        <v>14</v>
      </c>
      <c r="F23" s="2" t="s">
        <v>41</v>
      </c>
      <c r="G23" s="2">
        <v>793.6</v>
      </c>
      <c r="H23" s="2">
        <v>0.18</v>
      </c>
      <c r="I23" s="4">
        <f t="shared" si="1"/>
        <v>2.8843245967741935E-2</v>
      </c>
      <c r="J23" s="2">
        <v>22.89</v>
      </c>
      <c r="K23" s="2">
        <v>15.43</v>
      </c>
      <c r="L23" s="2">
        <v>5.67</v>
      </c>
      <c r="M23" s="2">
        <v>0</v>
      </c>
      <c r="N23" s="2"/>
      <c r="O23" s="2"/>
      <c r="P23" s="2"/>
      <c r="Q23" s="2"/>
      <c r="R23" s="2"/>
    </row>
    <row r="24" spans="2:18">
      <c r="B24" s="8">
        <v>23</v>
      </c>
      <c r="C24" s="2" t="s">
        <v>56</v>
      </c>
      <c r="D24" s="2" t="s">
        <v>43</v>
      </c>
      <c r="E24" s="2" t="s">
        <v>14</v>
      </c>
      <c r="F24" s="2" t="s">
        <v>24</v>
      </c>
      <c r="G24" s="2">
        <v>198.4</v>
      </c>
      <c r="H24" s="2">
        <v>-0.04</v>
      </c>
      <c r="I24" s="4">
        <f t="shared" si="1"/>
        <v>-6.2197580645161288E-2</v>
      </c>
      <c r="J24" s="2">
        <v>-12.34</v>
      </c>
      <c r="K24" s="2">
        <v>-18.899999999999999</v>
      </c>
      <c r="L24" s="2">
        <v>45.2</v>
      </c>
      <c r="M24" s="2">
        <v>0</v>
      </c>
      <c r="N24" s="2"/>
      <c r="O24" s="2"/>
      <c r="P24" s="2"/>
      <c r="Q24" s="2"/>
      <c r="R24" s="2"/>
    </row>
    <row r="25" spans="2:18">
      <c r="B25" s="8">
        <v>24</v>
      </c>
      <c r="C25" s="2" t="s">
        <v>57</v>
      </c>
      <c r="D25" s="2" t="s">
        <v>43</v>
      </c>
      <c r="E25" s="2" t="s">
        <v>14</v>
      </c>
      <c r="F25" s="2" t="s">
        <v>36</v>
      </c>
      <c r="G25" s="2">
        <v>448.33</v>
      </c>
      <c r="H25" s="2">
        <v>0.41</v>
      </c>
      <c r="I25" s="4">
        <f t="shared" si="1"/>
        <v>0.19878214707916045</v>
      </c>
      <c r="J25" s="2">
        <v>89.12</v>
      </c>
      <c r="K25" s="2">
        <v>67.45</v>
      </c>
      <c r="L25" s="2">
        <v>102.3</v>
      </c>
      <c r="M25" s="2">
        <v>0</v>
      </c>
      <c r="N25" s="2"/>
      <c r="O25" s="2"/>
      <c r="P25" s="2"/>
      <c r="Q25" s="2"/>
      <c r="R25" s="2"/>
    </row>
    <row r="26" spans="2:18">
      <c r="B26" s="8">
        <v>25</v>
      </c>
      <c r="C26" s="2" t="s">
        <v>58</v>
      </c>
      <c r="D26" s="2" t="s">
        <v>43</v>
      </c>
      <c r="E26" s="2" t="s">
        <v>14</v>
      </c>
      <c r="F26" s="2" t="s">
        <v>41</v>
      </c>
      <c r="G26" s="2">
        <v>592.33000000000004</v>
      </c>
      <c r="H26" s="2">
        <v>0.11</v>
      </c>
      <c r="I26" s="4">
        <f t="shared" si="1"/>
        <v>5.8345854506778316E-2</v>
      </c>
      <c r="J26" s="2">
        <v>34.56</v>
      </c>
      <c r="K26" s="2">
        <v>28.1</v>
      </c>
      <c r="L26" s="2">
        <v>15.8</v>
      </c>
      <c r="M26" s="2">
        <v>0</v>
      </c>
      <c r="N26" s="2"/>
      <c r="O26" s="2"/>
      <c r="P26" s="2"/>
      <c r="Q26" s="2"/>
      <c r="R26" s="2"/>
    </row>
    <row r="27" spans="2:18">
      <c r="B27" s="8">
        <v>26</v>
      </c>
      <c r="C27" s="2" t="s">
        <v>59</v>
      </c>
      <c r="D27" s="2" t="s">
        <v>43</v>
      </c>
      <c r="E27" s="2" t="s">
        <v>14</v>
      </c>
      <c r="F27" s="2" t="s">
        <v>45</v>
      </c>
      <c r="G27" s="2">
        <v>468.33</v>
      </c>
      <c r="H27" s="2">
        <v>0.09</v>
      </c>
      <c r="I27" s="4">
        <f t="shared" si="1"/>
        <v>0.12123929707684752</v>
      </c>
      <c r="J27" s="2">
        <v>56.78</v>
      </c>
      <c r="K27" s="2">
        <v>42.3</v>
      </c>
      <c r="L27" s="2">
        <v>210.45</v>
      </c>
      <c r="M27" s="2">
        <v>0</v>
      </c>
      <c r="N27" s="2"/>
      <c r="O27" s="2"/>
      <c r="P27" s="2"/>
      <c r="Q27" s="2"/>
      <c r="R27" s="2"/>
    </row>
    <row r="28" spans="2:18">
      <c r="B28" s="8">
        <v>27</v>
      </c>
      <c r="C28" s="2" t="s">
        <v>60</v>
      </c>
      <c r="D28" s="2" t="s">
        <v>43</v>
      </c>
      <c r="E28" s="2" t="s">
        <v>14</v>
      </c>
      <c r="F28" s="2" t="s">
        <v>41</v>
      </c>
      <c r="G28" s="2">
        <v>696.33</v>
      </c>
      <c r="H28" s="2">
        <v>0.27</v>
      </c>
      <c r="I28" s="4">
        <f t="shared" si="1"/>
        <v>1.7807648672324903E-2</v>
      </c>
      <c r="J28" s="2">
        <v>12.4</v>
      </c>
      <c r="K28" s="2">
        <v>3.5</v>
      </c>
      <c r="L28" s="2">
        <v>8.9</v>
      </c>
      <c r="M28" s="2">
        <v>0</v>
      </c>
      <c r="N28" s="2"/>
      <c r="O28" s="2"/>
      <c r="P28" s="2"/>
      <c r="Q28" s="2"/>
      <c r="R28" s="2"/>
    </row>
    <row r="29" spans="2:18">
      <c r="B29" s="8">
        <v>28</v>
      </c>
      <c r="C29" s="2" t="s">
        <v>61</v>
      </c>
      <c r="D29" s="2" t="s">
        <v>43</v>
      </c>
      <c r="E29" s="2" t="s">
        <v>14</v>
      </c>
      <c r="F29" s="2" t="s">
        <v>24</v>
      </c>
      <c r="G29" s="2">
        <v>1316.33</v>
      </c>
      <c r="H29" s="2">
        <v>-0.12</v>
      </c>
      <c r="I29" s="4">
        <f t="shared" si="1"/>
        <v>-3.4641769161228568E-2</v>
      </c>
      <c r="J29" s="2">
        <v>-45.6</v>
      </c>
      <c r="K29" s="2">
        <v>-60.2</v>
      </c>
      <c r="L29" s="2">
        <v>150.75</v>
      </c>
      <c r="M29" s="2">
        <v>0</v>
      </c>
      <c r="N29" s="2"/>
      <c r="O29" s="2"/>
      <c r="P29" s="2"/>
      <c r="Q29" s="2"/>
      <c r="R29" s="2"/>
    </row>
    <row r="30" spans="2:18">
      <c r="B30" s="8">
        <v>29</v>
      </c>
      <c r="C30" s="2" t="s">
        <v>62</v>
      </c>
      <c r="D30" s="2" t="s">
        <v>43</v>
      </c>
      <c r="E30" s="2" t="s">
        <v>14</v>
      </c>
      <c r="F30" s="2" t="s">
        <v>33</v>
      </c>
      <c r="G30" s="2">
        <v>297.60000000000002</v>
      </c>
      <c r="H30" s="2">
        <v>0.55000000000000004</v>
      </c>
      <c r="I30" s="4">
        <f t="shared" si="1"/>
        <v>-2.9905913978494621E-2</v>
      </c>
      <c r="J30" s="2">
        <v>-8.9</v>
      </c>
      <c r="K30" s="2">
        <v>-15.4</v>
      </c>
      <c r="L30" s="2">
        <v>34.200000000000003</v>
      </c>
      <c r="M30" s="2">
        <v>0</v>
      </c>
      <c r="N30" s="2"/>
      <c r="O30" s="2"/>
      <c r="P30" s="2"/>
      <c r="Q30" s="2"/>
      <c r="R30" s="2"/>
    </row>
    <row r="31" spans="2:18">
      <c r="B31" s="8">
        <v>30</v>
      </c>
      <c r="C31" s="2" t="s">
        <v>63</v>
      </c>
      <c r="D31" s="2" t="s">
        <v>43</v>
      </c>
      <c r="E31" s="2" t="s">
        <v>14</v>
      </c>
      <c r="F31" s="2" t="s">
        <v>41</v>
      </c>
      <c r="G31" s="2">
        <v>620</v>
      </c>
      <c r="H31" s="2">
        <v>0.03</v>
      </c>
      <c r="I31" s="4">
        <f t="shared" si="1"/>
        <v>0.17782258064516129</v>
      </c>
      <c r="J31" s="2">
        <v>110.25</v>
      </c>
      <c r="K31" s="2">
        <v>85.6</v>
      </c>
      <c r="L31" s="2">
        <v>305.10000000000002</v>
      </c>
      <c r="M31" s="2">
        <v>0</v>
      </c>
      <c r="N31" s="2"/>
      <c r="O31" s="2"/>
      <c r="P31" s="2"/>
      <c r="Q31" s="2"/>
      <c r="R31" s="2"/>
    </row>
    <row r="32" spans="2:18">
      <c r="B32" s="8">
        <v>31</v>
      </c>
      <c r="C32" s="2" t="s">
        <v>64</v>
      </c>
      <c r="D32" s="2" t="s">
        <v>43</v>
      </c>
      <c r="E32" s="2" t="s">
        <v>14</v>
      </c>
      <c r="F32" s="2" t="s">
        <v>41</v>
      </c>
      <c r="G32" s="2">
        <v>532.77</v>
      </c>
      <c r="H32" s="2">
        <v>0.33</v>
      </c>
      <c r="I32" s="4">
        <f t="shared" si="1"/>
        <v>5.4338645193986151E-2</v>
      </c>
      <c r="J32" s="2">
        <v>28.95</v>
      </c>
      <c r="K32" s="2">
        <v>20.149999999999999</v>
      </c>
      <c r="L32" s="2">
        <v>40.5</v>
      </c>
      <c r="M32" s="2">
        <v>0</v>
      </c>
      <c r="N32" s="2"/>
      <c r="O32" s="2"/>
      <c r="P32" s="2"/>
      <c r="Q32" s="2"/>
      <c r="R32" s="2"/>
    </row>
    <row r="33" spans="2:18">
      <c r="B33" s="8">
        <v>32</v>
      </c>
      <c r="C33" s="2" t="s">
        <v>65</v>
      </c>
      <c r="D33" s="2" t="s">
        <v>43</v>
      </c>
      <c r="E33" s="2" t="s">
        <v>14</v>
      </c>
      <c r="F33" s="2" t="s">
        <v>45</v>
      </c>
      <c r="G33" s="2">
        <v>532.79999999999995</v>
      </c>
      <c r="H33" s="2">
        <v>0.14000000000000001</v>
      </c>
      <c r="I33" s="4">
        <f t="shared" si="1"/>
        <v>0.12631381381381382</v>
      </c>
      <c r="J33" s="2">
        <v>67.3</v>
      </c>
      <c r="K33" s="2">
        <v>50.8</v>
      </c>
      <c r="L33" s="2">
        <v>12.15</v>
      </c>
      <c r="M33" s="2">
        <v>0</v>
      </c>
      <c r="N33" s="2"/>
      <c r="O33" s="2"/>
      <c r="P33" s="2"/>
      <c r="Q33" s="2"/>
      <c r="R33" s="2"/>
    </row>
    <row r="34" spans="2:18">
      <c r="B34" s="8">
        <v>33</v>
      </c>
      <c r="C34" s="2" t="s">
        <v>66</v>
      </c>
      <c r="D34" s="2" t="s">
        <v>43</v>
      </c>
      <c r="E34" s="2" t="s">
        <v>14</v>
      </c>
      <c r="F34" s="2" t="s">
        <v>41</v>
      </c>
      <c r="G34" s="2">
        <v>283.2</v>
      </c>
      <c r="H34" s="2">
        <v>7.0000000000000007E-2</v>
      </c>
      <c r="I34" s="4">
        <f t="shared" si="1"/>
        <v>1.9950564971751416E-2</v>
      </c>
      <c r="J34" s="2">
        <v>5.65</v>
      </c>
      <c r="K34" s="2">
        <v>-2.1</v>
      </c>
      <c r="L34" s="2">
        <v>89.4</v>
      </c>
      <c r="M34" s="2">
        <v>0</v>
      </c>
      <c r="N34" s="2"/>
      <c r="O34" s="2"/>
      <c r="P34" s="2"/>
      <c r="Q34" s="2"/>
      <c r="R34" s="2"/>
    </row>
    <row r="35" spans="2:18">
      <c r="B35" s="8">
        <v>34</v>
      </c>
      <c r="C35" s="2" t="s">
        <v>67</v>
      </c>
      <c r="D35" s="2" t="s">
        <v>43</v>
      </c>
      <c r="E35" s="2" t="s">
        <v>14</v>
      </c>
      <c r="F35" s="2" t="s">
        <v>24</v>
      </c>
      <c r="G35" s="2">
        <v>708</v>
      </c>
      <c r="H35" s="2">
        <v>0.62</v>
      </c>
      <c r="I35" s="4">
        <f t="shared" si="1"/>
        <v>-4.8305084745762714E-2</v>
      </c>
      <c r="J35" s="2">
        <v>-34.200000000000003</v>
      </c>
      <c r="K35" s="2">
        <v>-40.5</v>
      </c>
      <c r="L35" s="2">
        <v>22.3</v>
      </c>
      <c r="M35" s="2">
        <v>0</v>
      </c>
      <c r="N35" s="2"/>
      <c r="O35" s="2"/>
      <c r="P35" s="2"/>
      <c r="Q35" s="2"/>
      <c r="R35" s="2"/>
    </row>
    <row r="36" spans="2:18">
      <c r="B36" s="8">
        <v>35</v>
      </c>
      <c r="C36" s="2" t="s">
        <v>68</v>
      </c>
      <c r="D36" s="2" t="s">
        <v>43</v>
      </c>
      <c r="E36" s="2" t="s">
        <v>14</v>
      </c>
      <c r="F36" s="2" t="s">
        <v>36</v>
      </c>
      <c r="G36" s="2">
        <v>1722.33</v>
      </c>
      <c r="H36" s="2">
        <v>0.19</v>
      </c>
      <c r="I36" s="4">
        <f t="shared" si="1"/>
        <v>2.4269448944162848E-2</v>
      </c>
      <c r="J36" s="2">
        <v>41.8</v>
      </c>
      <c r="K36" s="2">
        <v>30.25</v>
      </c>
      <c r="L36" s="2">
        <v>65.7</v>
      </c>
      <c r="M36" s="2">
        <v>0</v>
      </c>
      <c r="N36" s="2"/>
      <c r="O36" s="2"/>
      <c r="P36" s="2"/>
      <c r="Q36" s="2"/>
      <c r="R36" s="2"/>
    </row>
    <row r="37" spans="2:18">
      <c r="B37" s="8">
        <v>36</v>
      </c>
      <c r="C37" s="2" t="s">
        <v>69</v>
      </c>
      <c r="D37" s="2" t="s">
        <v>43</v>
      </c>
      <c r="E37" s="2" t="s">
        <v>14</v>
      </c>
      <c r="F37" s="2" t="s">
        <v>45</v>
      </c>
      <c r="G37" s="2">
        <v>1592.66</v>
      </c>
      <c r="H37" s="2">
        <v>0.21</v>
      </c>
      <c r="I37" s="4">
        <f t="shared" si="1"/>
        <v>1.1866939585347781E-2</v>
      </c>
      <c r="J37" s="2">
        <v>18.899999999999999</v>
      </c>
      <c r="K37" s="2">
        <v>14.2</v>
      </c>
      <c r="L37" s="2">
        <v>9.8000000000000007</v>
      </c>
      <c r="M37" s="2">
        <v>0</v>
      </c>
      <c r="N37" s="2"/>
      <c r="O37" s="2"/>
      <c r="P37" s="2"/>
      <c r="Q37" s="2"/>
      <c r="R37" s="2"/>
    </row>
    <row r="38" spans="2:18">
      <c r="B38" s="8">
        <v>37</v>
      </c>
      <c r="C38" s="2" t="s">
        <v>70</v>
      </c>
      <c r="D38" s="2" t="s">
        <v>43</v>
      </c>
      <c r="E38" s="2" t="s">
        <v>14</v>
      </c>
      <c r="F38" s="2" t="s">
        <v>24</v>
      </c>
      <c r="G38" s="2">
        <v>1014.33</v>
      </c>
      <c r="H38" s="2">
        <v>-0.05</v>
      </c>
      <c r="I38" s="4">
        <f t="shared" si="1"/>
        <v>-1.5231729318860724E-2</v>
      </c>
      <c r="J38" s="2">
        <v>-15.45</v>
      </c>
      <c r="K38" s="2">
        <v>-22.3</v>
      </c>
      <c r="L38" s="2">
        <v>55.6</v>
      </c>
      <c r="M38" s="2">
        <v>0</v>
      </c>
      <c r="N38" s="2"/>
      <c r="O38" s="2"/>
      <c r="P38" s="2"/>
      <c r="Q38" s="2"/>
      <c r="R38" s="2"/>
    </row>
    <row r="39" spans="2:18">
      <c r="B39" s="8">
        <v>38</v>
      </c>
      <c r="C39" s="2" t="s">
        <v>71</v>
      </c>
      <c r="D39" s="2" t="s">
        <v>43</v>
      </c>
      <c r="E39" s="2" t="s">
        <v>14</v>
      </c>
      <c r="F39" s="2" t="s">
        <v>41</v>
      </c>
      <c r="G39" s="2">
        <v>1899.33</v>
      </c>
      <c r="H39" s="2">
        <v>0.36</v>
      </c>
      <c r="I39" s="4">
        <f t="shared" si="1"/>
        <v>4.0277360964129455E-2</v>
      </c>
      <c r="J39" s="2">
        <v>76.5</v>
      </c>
      <c r="K39" s="2">
        <v>58.9</v>
      </c>
      <c r="L39" s="2">
        <v>120.4</v>
      </c>
      <c r="M39" s="2">
        <v>0</v>
      </c>
      <c r="N39" s="2"/>
      <c r="O39" s="2"/>
      <c r="P39" s="2"/>
      <c r="Q39" s="2"/>
      <c r="R39" s="2"/>
    </row>
    <row r="40" spans="2:18">
      <c r="B40" s="8">
        <v>39</v>
      </c>
      <c r="C40" s="2" t="s">
        <v>72</v>
      </c>
      <c r="D40" s="2" t="s">
        <v>43</v>
      </c>
      <c r="E40" s="2" t="s">
        <v>14</v>
      </c>
      <c r="F40" s="2" t="s">
        <v>45</v>
      </c>
      <c r="G40" s="2">
        <v>424.8</v>
      </c>
      <c r="H40" s="2">
        <v>0.08</v>
      </c>
      <c r="I40" s="4">
        <f t="shared" si="1"/>
        <v>5.6732580037664786E-2</v>
      </c>
      <c r="J40" s="2">
        <v>24.1</v>
      </c>
      <c r="K40" s="2">
        <v>19.5</v>
      </c>
      <c r="L40" s="2">
        <v>30.2</v>
      </c>
      <c r="M40" s="2">
        <v>0</v>
      </c>
      <c r="N40" s="2"/>
      <c r="O40" s="2"/>
      <c r="P40" s="2"/>
      <c r="Q40" s="2"/>
      <c r="R40" s="2"/>
    </row>
    <row r="41" spans="2:18">
      <c r="B41" s="8">
        <v>40</v>
      </c>
      <c r="C41" s="2" t="s">
        <v>73</v>
      </c>
      <c r="D41" s="2" t="s">
        <v>43</v>
      </c>
      <c r="E41" s="2" t="s">
        <v>14</v>
      </c>
      <c r="F41" s="2" t="s">
        <v>41</v>
      </c>
      <c r="G41" s="2">
        <v>885</v>
      </c>
      <c r="H41" s="2">
        <v>0.15</v>
      </c>
      <c r="I41" s="4">
        <f t="shared" si="1"/>
        <v>5.6779661016949153E-2</v>
      </c>
      <c r="J41" s="2">
        <v>50.25</v>
      </c>
      <c r="K41" s="2">
        <v>38.6</v>
      </c>
      <c r="L41" s="2">
        <v>190.1</v>
      </c>
      <c r="M41" s="2">
        <v>0</v>
      </c>
      <c r="N41" s="2"/>
      <c r="O41" s="2"/>
      <c r="P41" s="2"/>
      <c r="Q41" s="2"/>
      <c r="R41" s="2"/>
    </row>
    <row r="42" spans="2:18">
      <c r="B42" s="8">
        <v>41</v>
      </c>
      <c r="C42" s="2" t="s">
        <v>74</v>
      </c>
      <c r="D42" s="2" t="s">
        <v>43</v>
      </c>
      <c r="E42" s="2" t="s">
        <v>14</v>
      </c>
      <c r="F42" s="2" t="s">
        <v>36</v>
      </c>
      <c r="G42" s="2">
        <v>702.38</v>
      </c>
      <c r="H42" s="2">
        <v>0.28999999999999998</v>
      </c>
      <c r="I42" s="4">
        <f t="shared" si="1"/>
        <v>2.1071215011816965E-2</v>
      </c>
      <c r="J42" s="2">
        <v>14.8</v>
      </c>
      <c r="K42" s="2">
        <v>5.9</v>
      </c>
      <c r="L42" s="2">
        <v>11.2</v>
      </c>
      <c r="M42" s="2">
        <v>0</v>
      </c>
      <c r="N42" s="2"/>
      <c r="O42" s="2"/>
      <c r="P42" s="2"/>
      <c r="Q42" s="2"/>
      <c r="R42" s="2"/>
    </row>
    <row r="43" spans="2:18">
      <c r="B43" s="8">
        <v>42</v>
      </c>
      <c r="C43" s="2" t="s">
        <v>75</v>
      </c>
      <c r="D43" s="2" t="s">
        <v>43</v>
      </c>
      <c r="E43" s="2" t="s">
        <v>14</v>
      </c>
      <c r="F43" s="2" t="s">
        <v>24</v>
      </c>
      <c r="G43" s="2">
        <v>893.44</v>
      </c>
      <c r="H43" s="2">
        <v>-0.09</v>
      </c>
      <c r="I43" s="4">
        <f t="shared" si="1"/>
        <v>-4.3091869627507162E-2</v>
      </c>
      <c r="J43" s="2">
        <v>-38.5</v>
      </c>
      <c r="K43" s="2">
        <v>-52.4</v>
      </c>
      <c r="L43" s="2">
        <v>135.9</v>
      </c>
      <c r="M43" s="2">
        <v>0</v>
      </c>
      <c r="N43" s="2"/>
      <c r="O43" s="2"/>
      <c r="P43" s="2"/>
      <c r="Q43" s="2"/>
      <c r="R43" s="2"/>
    </row>
    <row r="44" spans="2:18">
      <c r="B44" s="8">
        <v>43</v>
      </c>
      <c r="C44" s="2" t="s">
        <v>76</v>
      </c>
      <c r="D44" s="2" t="s">
        <v>43</v>
      </c>
      <c r="E44" s="2" t="s">
        <v>14</v>
      </c>
      <c r="F44" s="2" t="s">
        <v>41</v>
      </c>
      <c r="G44" s="2">
        <v>373.36</v>
      </c>
      <c r="H44" s="2">
        <v>0.48</v>
      </c>
      <c r="I44" s="4">
        <f t="shared" si="1"/>
        <v>-1.794514677523034E-2</v>
      </c>
      <c r="J44" s="2">
        <v>-6.7</v>
      </c>
      <c r="K44" s="2">
        <v>-12.8</v>
      </c>
      <c r="L44" s="2">
        <v>28.4</v>
      </c>
      <c r="M44" s="2">
        <v>0</v>
      </c>
      <c r="N44" s="2"/>
      <c r="O44" s="2"/>
      <c r="P44" s="2"/>
      <c r="Q44" s="2"/>
      <c r="R44" s="2"/>
    </row>
    <row r="45" spans="2:18">
      <c r="B45" s="8">
        <v>44</v>
      </c>
      <c r="C45" s="2" t="s">
        <v>77</v>
      </c>
      <c r="D45" s="2" t="s">
        <v>43</v>
      </c>
      <c r="E45" s="2" t="s">
        <v>14</v>
      </c>
      <c r="F45" s="2" t="s">
        <v>33</v>
      </c>
      <c r="G45" s="2">
        <v>933.4</v>
      </c>
      <c r="H45" s="2">
        <v>0.04</v>
      </c>
      <c r="I45" s="4">
        <f t="shared" si="1"/>
        <v>0.10542104135418899</v>
      </c>
      <c r="J45" s="2">
        <v>98.4</v>
      </c>
      <c r="K45" s="2">
        <v>72.099999999999994</v>
      </c>
      <c r="L45" s="2">
        <v>280.5</v>
      </c>
      <c r="M45" s="2">
        <v>0</v>
      </c>
      <c r="N45" s="2"/>
      <c r="O45" s="2"/>
      <c r="P45" s="2"/>
      <c r="Q45" s="2"/>
      <c r="R45" s="2"/>
    </row>
    <row r="46" spans="2:18">
      <c r="B46" s="8">
        <v>45</v>
      </c>
      <c r="C46" s="2" t="s">
        <v>78</v>
      </c>
      <c r="D46" s="2" t="s">
        <v>43</v>
      </c>
      <c r="E46" s="2" t="s">
        <v>14</v>
      </c>
      <c r="F46" s="2" t="s">
        <v>41</v>
      </c>
      <c r="G46" s="2">
        <v>733.5</v>
      </c>
      <c r="H46" s="2">
        <v>0.31</v>
      </c>
      <c r="I46" s="4">
        <f t="shared" si="1"/>
        <v>3.4901158827539198E-2</v>
      </c>
      <c r="J46" s="2">
        <v>25.6</v>
      </c>
      <c r="K46" s="2">
        <v>18.399999999999999</v>
      </c>
      <c r="L46" s="2">
        <v>35.700000000000003</v>
      </c>
      <c r="M46" s="2">
        <v>0</v>
      </c>
      <c r="N46" s="2"/>
      <c r="O46" s="2"/>
      <c r="P46" s="2"/>
      <c r="Q46" s="2"/>
      <c r="R46" s="2"/>
    </row>
    <row r="47" spans="2:18">
      <c r="B47" s="8">
        <v>46</v>
      </c>
      <c r="C47" s="2" t="s">
        <v>79</v>
      </c>
      <c r="D47" s="2" t="s">
        <v>43</v>
      </c>
      <c r="E47" s="2" t="s">
        <v>14</v>
      </c>
      <c r="F47" s="2" t="s">
        <v>45</v>
      </c>
      <c r="G47" s="2">
        <v>500.15</v>
      </c>
      <c r="H47" s="2">
        <v>0.16</v>
      </c>
      <c r="I47" s="4">
        <f t="shared" si="1"/>
        <v>0.12426272118364491</v>
      </c>
      <c r="J47" s="2">
        <v>62.15</v>
      </c>
      <c r="K47" s="2">
        <v>48.9</v>
      </c>
      <c r="L47" s="2">
        <v>10.8</v>
      </c>
      <c r="M47" s="2">
        <v>0</v>
      </c>
      <c r="N47" s="2"/>
      <c r="O47" s="2"/>
      <c r="P47" s="2"/>
      <c r="Q47" s="2"/>
      <c r="R47" s="2"/>
    </row>
    <row r="48" spans="2:18">
      <c r="B48" s="8">
        <v>47</v>
      </c>
      <c r="C48" s="2" t="s">
        <v>80</v>
      </c>
      <c r="D48" s="2" t="s">
        <v>43</v>
      </c>
      <c r="E48" s="2" t="s">
        <v>14</v>
      </c>
      <c r="F48" s="2" t="s">
        <v>41</v>
      </c>
      <c r="G48" s="2">
        <v>800.1</v>
      </c>
      <c r="H48" s="2">
        <v>0.06</v>
      </c>
      <c r="I48" s="4">
        <f t="shared" si="1"/>
        <v>5.2493438320209973E-3</v>
      </c>
      <c r="J48" s="2">
        <v>4.2</v>
      </c>
      <c r="K48" s="2">
        <v>-3.5</v>
      </c>
      <c r="L48" s="2">
        <v>78.3</v>
      </c>
      <c r="M48" s="2">
        <v>0</v>
      </c>
      <c r="N48" s="2"/>
      <c r="O48" s="2"/>
      <c r="P48" s="2"/>
      <c r="Q48" s="2"/>
      <c r="R48" s="2"/>
    </row>
    <row r="49" spans="2:18">
      <c r="B49" s="8">
        <v>48</v>
      </c>
      <c r="C49" s="2" t="s">
        <v>81</v>
      </c>
      <c r="D49" s="2" t="s">
        <v>43</v>
      </c>
      <c r="E49" s="2" t="s">
        <v>14</v>
      </c>
      <c r="F49" s="2" t="s">
        <v>24</v>
      </c>
      <c r="G49" s="2">
        <v>966.85</v>
      </c>
      <c r="H49" s="2">
        <v>0.57999999999999996</v>
      </c>
      <c r="I49" s="4">
        <f t="shared" si="1"/>
        <v>-3.0821740704349176E-2</v>
      </c>
      <c r="J49" s="2">
        <v>-29.8</v>
      </c>
      <c r="K49" s="2">
        <v>-36.4</v>
      </c>
      <c r="L49" s="2">
        <v>19.600000000000001</v>
      </c>
      <c r="M49" s="2">
        <v>0</v>
      </c>
      <c r="N49" s="2"/>
      <c r="O49" s="2"/>
      <c r="P49" s="2"/>
      <c r="Q49" s="2"/>
      <c r="R49" s="2"/>
    </row>
    <row r="50" spans="2:18">
      <c r="B50" s="8">
        <v>49</v>
      </c>
      <c r="C50" s="2" t="s">
        <v>82</v>
      </c>
      <c r="D50" s="2" t="s">
        <v>43</v>
      </c>
      <c r="E50" s="2" t="s">
        <v>14</v>
      </c>
      <c r="F50" s="2" t="s">
        <v>33</v>
      </c>
      <c r="G50" s="2">
        <v>560.04</v>
      </c>
      <c r="H50" s="2">
        <v>0.22</v>
      </c>
      <c r="I50" s="4">
        <f t="shared" si="1"/>
        <v>7.0441397043068357E-2</v>
      </c>
      <c r="J50" s="2">
        <v>39.450000000000003</v>
      </c>
      <c r="K50" s="2">
        <v>29.1</v>
      </c>
      <c r="L50" s="2">
        <v>60.5</v>
      </c>
      <c r="M50" s="2">
        <v>0</v>
      </c>
      <c r="N50" s="2"/>
      <c r="O50" s="2"/>
      <c r="P50" s="2"/>
      <c r="Q50" s="2"/>
      <c r="R50" s="2"/>
    </row>
    <row r="51" spans="2:18">
      <c r="B51" s="8">
        <v>50</v>
      </c>
      <c r="C51" s="2" t="s">
        <v>83</v>
      </c>
      <c r="D51" s="2" t="s">
        <v>43</v>
      </c>
      <c r="E51" s="2" t="s">
        <v>14</v>
      </c>
      <c r="F51" s="2" t="s">
        <v>41</v>
      </c>
      <c r="G51" s="2">
        <v>566.75</v>
      </c>
      <c r="H51" s="2">
        <v>0.24</v>
      </c>
      <c r="I51" s="4">
        <f t="shared" si="1"/>
        <v>2.9554477282752536E-2</v>
      </c>
      <c r="J51" s="2">
        <v>16.75</v>
      </c>
      <c r="K51" s="2">
        <v>12.6</v>
      </c>
      <c r="L51" s="2">
        <v>8.5</v>
      </c>
      <c r="M51" s="2">
        <v>0</v>
      </c>
      <c r="N51" s="2"/>
      <c r="O51" s="2"/>
      <c r="P51" s="2"/>
      <c r="Q51" s="2"/>
      <c r="R5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4A39B-897B-4092-9CF4-7D8F3674A6F9}">
  <dimension ref="A1:H6"/>
  <sheetViews>
    <sheetView tabSelected="1" zoomScale="96" workbookViewId="0">
      <selection activeCell="D11" sqref="D11"/>
    </sheetView>
  </sheetViews>
  <sheetFormatPr defaultRowHeight="13.8"/>
  <cols>
    <col min="1" max="1" width="11.44140625" style="1" bestFit="1" customWidth="1"/>
    <col min="2" max="2" width="14.6640625" style="1" bestFit="1" customWidth="1"/>
    <col min="3" max="3" width="19.44140625" style="1" bestFit="1" customWidth="1"/>
    <col min="4" max="4" width="15.21875" style="1" customWidth="1"/>
    <col min="5" max="5" width="11.77734375" style="1" customWidth="1"/>
    <col min="6" max="6" width="10.109375" style="1" bestFit="1" customWidth="1"/>
    <col min="7" max="7" width="13.77734375" style="1" bestFit="1" customWidth="1"/>
    <col min="8" max="8" width="16" style="1" bestFit="1" customWidth="1"/>
    <col min="9" max="16384" width="8.88671875" style="1"/>
  </cols>
  <sheetData>
    <row r="1" spans="1:8" ht="14.4">
      <c r="A1" s="17" t="s">
        <v>0</v>
      </c>
      <c r="B1" s="17" t="s">
        <v>1</v>
      </c>
      <c r="C1" s="17" t="s">
        <v>4</v>
      </c>
      <c r="D1" s="17" t="s">
        <v>5</v>
      </c>
      <c r="E1" s="17" t="s">
        <v>8</v>
      </c>
      <c r="F1" s="17" t="s">
        <v>10</v>
      </c>
      <c r="G1" s="17" t="s">
        <v>103</v>
      </c>
      <c r="H1" s="17" t="s">
        <v>102</v>
      </c>
    </row>
    <row r="2" spans="1:8" ht="14.4">
      <c r="A2" s="2">
        <v>24</v>
      </c>
      <c r="B2" s="2" t="s">
        <v>57</v>
      </c>
      <c r="C2" s="2" t="s">
        <v>36</v>
      </c>
      <c r="D2" s="2">
        <v>448.33</v>
      </c>
      <c r="E2" s="2">
        <v>89.12</v>
      </c>
      <c r="F2" s="2">
        <v>102.3</v>
      </c>
      <c r="G2" s="2">
        <v>1.1478900000000001</v>
      </c>
      <c r="H2" s="2">
        <v>61</v>
      </c>
    </row>
    <row r="3" spans="1:8" ht="14.4">
      <c r="A3" s="2">
        <v>11</v>
      </c>
      <c r="B3" s="2" t="s">
        <v>42</v>
      </c>
      <c r="C3" s="2" t="s">
        <v>41</v>
      </c>
      <c r="D3" s="2">
        <v>150.5</v>
      </c>
      <c r="E3" s="2">
        <v>33.11</v>
      </c>
      <c r="F3" s="2">
        <v>25</v>
      </c>
      <c r="G3" s="2">
        <v>0.75505900000000004</v>
      </c>
      <c r="H3" s="2">
        <v>57</v>
      </c>
    </row>
    <row r="4" spans="1:8" ht="14.4">
      <c r="A4" s="2">
        <v>29</v>
      </c>
      <c r="B4" s="2" t="s">
        <v>62</v>
      </c>
      <c r="C4" s="2" t="s">
        <v>33</v>
      </c>
      <c r="D4" s="2">
        <v>297.60000000000002</v>
      </c>
      <c r="E4" s="2">
        <v>-8.9</v>
      </c>
      <c r="F4" s="2">
        <v>34.200000000000003</v>
      </c>
      <c r="G4" s="3">
        <v>-3.8426969999999998</v>
      </c>
      <c r="H4" s="2">
        <v>52</v>
      </c>
    </row>
    <row r="5" spans="1:8" ht="14.4">
      <c r="A5" s="2">
        <v>43</v>
      </c>
      <c r="B5" s="2" t="s">
        <v>76</v>
      </c>
      <c r="C5" s="2" t="s">
        <v>41</v>
      </c>
      <c r="D5" s="2">
        <v>373.36</v>
      </c>
      <c r="E5" s="2">
        <v>-6.7</v>
      </c>
      <c r="F5" s="2">
        <v>28.4</v>
      </c>
      <c r="G5" s="3">
        <v>-4.2388060000000003</v>
      </c>
      <c r="H5" s="2">
        <v>46</v>
      </c>
    </row>
    <row r="6" spans="1:8" ht="14.4">
      <c r="A6" s="2">
        <v>12</v>
      </c>
      <c r="B6" s="2" t="s">
        <v>44</v>
      </c>
      <c r="C6" s="2" t="s">
        <v>45</v>
      </c>
      <c r="D6" s="2">
        <v>319.66000000000003</v>
      </c>
      <c r="E6" s="2">
        <v>57.6</v>
      </c>
      <c r="F6" s="2">
        <v>52</v>
      </c>
      <c r="G6" s="2">
        <v>0.90277799999999997</v>
      </c>
      <c r="H6" s="2">
        <v>43</v>
      </c>
    </row>
  </sheetData>
  <conditionalFormatting sqref="D2:D6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{C51D2A45-D198-4C2B-8D21-0B9B2AB28577}</x14:id>
        </ext>
      </extLst>
    </cfRule>
  </conditionalFormatting>
  <conditionalFormatting sqref="E2:E6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{AEE44B58-68B1-41F7-9E64-FA42DE383071}</x14:id>
        </ext>
      </extLst>
    </cfRule>
  </conditionalFormatting>
  <conditionalFormatting sqref="F2:F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:G3 G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:H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51D2A45-D198-4C2B-8D21-0B9B2AB2857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D2:D6</xm:sqref>
        </x14:conditionalFormatting>
        <x14:conditionalFormatting xmlns:xm="http://schemas.microsoft.com/office/excel/2006/main">
          <x14:cfRule type="dataBar" id="{AEE44B58-68B1-41F7-9E64-FA42DE38307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E2:E6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52A23-C9C9-4858-ABE4-8EDCC94BD5AD}">
  <dimension ref="B1:Q12"/>
  <sheetViews>
    <sheetView zoomScale="93" workbookViewId="0">
      <selection activeCell="C19" sqref="C19"/>
    </sheetView>
  </sheetViews>
  <sheetFormatPr defaultRowHeight="14.4"/>
  <cols>
    <col min="1" max="1" width="1.88671875" style="2" customWidth="1"/>
    <col min="2" max="2" width="27" style="2" bestFit="1" customWidth="1"/>
    <col min="3" max="3" width="14.33203125" style="2" bestFit="1" customWidth="1"/>
    <col min="4" max="4" width="13.21875" style="2" bestFit="1" customWidth="1"/>
    <col min="5" max="5" width="10.6640625" style="2" bestFit="1" customWidth="1"/>
    <col min="6" max="6" width="11.5546875" style="2" bestFit="1" customWidth="1"/>
    <col min="7" max="16" width="8.88671875" style="2"/>
    <col min="17" max="17" width="14.33203125" style="2" bestFit="1" customWidth="1"/>
    <col min="18" max="18" width="16.109375" style="2" bestFit="1" customWidth="1"/>
    <col min="19" max="16384" width="8.88671875" style="2"/>
  </cols>
  <sheetData>
    <row r="1" spans="2:17">
      <c r="B1" s="17" t="s">
        <v>94</v>
      </c>
      <c r="C1" s="17" t="s">
        <v>91</v>
      </c>
      <c r="D1" s="17" t="s">
        <v>92</v>
      </c>
      <c r="E1" s="17" t="s">
        <v>93</v>
      </c>
    </row>
    <row r="2" spans="2:17">
      <c r="B2" s="2" t="s">
        <v>95</v>
      </c>
      <c r="C2" s="4">
        <f>Target_Comps!P14</f>
        <v>2.0729052392150811</v>
      </c>
      <c r="D2" s="4">
        <f>Target_Comps!P12</f>
        <v>2.9724251893662208</v>
      </c>
      <c r="E2" s="4">
        <f>Target_Comps!P15</f>
        <v>3.8303784189379115</v>
      </c>
      <c r="Q2" s="16"/>
    </row>
    <row r="3" spans="2:17">
      <c r="B3" s="2" t="s">
        <v>96</v>
      </c>
      <c r="C3" s="4">
        <f>Target_Comps!Q3</f>
        <v>9.072284222381489</v>
      </c>
      <c r="D3" s="4">
        <f>Target_Comps!Q12</f>
        <v>11.296885432909676</v>
      </c>
      <c r="E3" s="4">
        <f>Target_Comps!Q15</f>
        <v>22.945789311138412</v>
      </c>
      <c r="Q3" s="16"/>
    </row>
    <row r="4" spans="2:17">
      <c r="B4" s="2" t="s">
        <v>97</v>
      </c>
      <c r="C4" s="4">
        <f>Target_Comps!$G$25*Valuation_Model!C2</f>
        <v>929.34560589729722</v>
      </c>
      <c r="D4" s="4">
        <f>Target_Comps!$G$25*Valuation_Model!D2</f>
        <v>1332.6273851485578</v>
      </c>
      <c r="E4" s="4">
        <f>Target_Comps!$G$25*Valuation_Model!E2</f>
        <v>1717.2735565624339</v>
      </c>
      <c r="Q4" s="16"/>
    </row>
    <row r="5" spans="2:17">
      <c r="B5" s="2" t="s">
        <v>98</v>
      </c>
      <c r="C5" s="4">
        <f>Target_Comps!$J$25*Valuation_Model!C3</f>
        <v>808.5219698986383</v>
      </c>
      <c r="D5" s="4">
        <f>Target_Comps!$J$25*Valuation_Model!D3</f>
        <v>1006.7784297809103</v>
      </c>
      <c r="E5" s="4">
        <f>Target_Comps!$J$25*Valuation_Model!E3</f>
        <v>2044.9287434086555</v>
      </c>
      <c r="Q5" s="16"/>
    </row>
    <row r="6" spans="2:17">
      <c r="B6" s="2" t="s">
        <v>99</v>
      </c>
      <c r="C6" s="4">
        <f>AVERAGE(C4:C5)</f>
        <v>868.9337878979677</v>
      </c>
      <c r="D6" s="4">
        <f t="shared" ref="D6:E6" si="0">AVERAGE(D4:D5)</f>
        <v>1169.7029074647339</v>
      </c>
      <c r="E6" s="4">
        <f t="shared" si="0"/>
        <v>1881.1011499855447</v>
      </c>
      <c r="Q6" s="16"/>
    </row>
    <row r="7" spans="2:17">
      <c r="B7" s="5" t="s">
        <v>100</v>
      </c>
      <c r="C7" s="4">
        <f>C6*-0.25</f>
        <v>-217.23344697449193</v>
      </c>
      <c r="D7" s="4">
        <f t="shared" ref="D7:E7" si="1">D6*-0.25</f>
        <v>-292.42572686618348</v>
      </c>
      <c r="E7" s="4">
        <f t="shared" si="1"/>
        <v>-470.27528749638617</v>
      </c>
      <c r="Q7" s="16"/>
    </row>
    <row r="8" spans="2:17" ht="15" thickBot="1">
      <c r="B8" s="6" t="s">
        <v>101</v>
      </c>
      <c r="C8" s="7">
        <f>SUM(C6:C7)</f>
        <v>651.70034092347578</v>
      </c>
      <c r="D8" s="7">
        <f t="shared" ref="D8:E8" si="2">SUM(D6:D7)</f>
        <v>877.27718059855044</v>
      </c>
      <c r="E8" s="7">
        <f t="shared" si="2"/>
        <v>1410.8258624891585</v>
      </c>
    </row>
    <row r="10" spans="2:17">
      <c r="B10" s="2" t="s">
        <v>104</v>
      </c>
      <c r="D10" s="2" t="s">
        <v>57</v>
      </c>
    </row>
    <row r="11" spans="2:17">
      <c r="B11" s="2" t="s">
        <v>89</v>
      </c>
      <c r="D11" s="2">
        <f>Target_Comps!G25</f>
        <v>448.33</v>
      </c>
    </row>
    <row r="12" spans="2:17">
      <c r="B12" s="2" t="s">
        <v>90</v>
      </c>
      <c r="D12" s="2">
        <f>Target_Comps!J25</f>
        <v>89.12</v>
      </c>
    </row>
  </sheetData>
  <mergeCells count="2">
    <mergeCell ref="Q2:Q4"/>
    <mergeCell ref="Q5:Q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Target_Comps</vt:lpstr>
      <vt:lpstr>Peer_Screening</vt:lpstr>
      <vt:lpstr>Valuation_Model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Sayan Bhadra</dc:creator>
  <cp:lastModifiedBy>Sayan Bhadra</cp:lastModifiedBy>
  <dcterms:created xsi:type="dcterms:W3CDTF">2025-12-02T10:31:08Z</dcterms:created>
  <dcterms:modified xsi:type="dcterms:W3CDTF">2025-12-02T20:36:52Z</dcterms:modified>
</cp:coreProperties>
</file>